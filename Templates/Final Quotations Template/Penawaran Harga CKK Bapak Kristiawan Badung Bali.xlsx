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W ABJ " sheetId="1" r:id="rId4"/>
  </sheets>
  <definedNames/>
  <calcPr/>
  <extLst>
    <ext uri="GoogleSheetsCustomDataVersion2">
      <go:sheetsCustomData xmlns:go="http://customooxmlschemas.google.com/" r:id="rId5" roundtripDataChecksum="GlvGikT+a0M3m3F75p5U1Wu8hMvkbplP0Vp1qjzgwLg="/>
    </ext>
  </extLst>
</workbook>
</file>

<file path=xl/sharedStrings.xml><?xml version="1.0" encoding="utf-8"?>
<sst xmlns="http://schemas.openxmlformats.org/spreadsheetml/2006/main" count="56" uniqueCount="49">
  <si>
    <t xml:space="preserve"> </t>
  </si>
  <si>
    <t xml:space="preserve">Kepada Yth. </t>
  </si>
  <si>
    <t>Jakarta, 23 Mei 2026</t>
  </si>
  <si>
    <t>Kristiawan</t>
  </si>
  <si>
    <t>di Badung Bali</t>
  </si>
  <si>
    <t>Penawaran Harga Astral</t>
  </si>
  <si>
    <t>Quotation No. 213/PNW-AB/05-26</t>
  </si>
  <si>
    <t>Dengan ini kami sertakan penawaran produk kami sesuai dengan gambar kerja yang dikirimkan kepada kami.</t>
  </si>
  <si>
    <t>No</t>
  </si>
  <si>
    <t>Item</t>
  </si>
  <si>
    <t>Spesifikasi</t>
  </si>
  <si>
    <t>Unit</t>
  </si>
  <si>
    <t>Harga /Unit</t>
  </si>
  <si>
    <t>Harga</t>
  </si>
  <si>
    <t>P1</t>
  </si>
  <si>
    <t xml:space="preserve">  - Astral Swing and Slide 2R4S</t>
  </si>
  <si>
    <t xml:space="preserve">  - Warna Monochromatic</t>
  </si>
  <si>
    <t xml:space="preserve">  - Clear Glass 8 mm</t>
  </si>
  <si>
    <t xml:space="preserve">  - Sealant</t>
  </si>
  <si>
    <t xml:space="preserve">  - Instalasi</t>
  </si>
  <si>
    <t>Dimensi : 3000x2400</t>
  </si>
  <si>
    <t>P2</t>
  </si>
  <si>
    <t xml:space="preserve">  - Astral Swing and Slide 2R2S</t>
  </si>
  <si>
    <t>Dimensi : 1600x2400</t>
  </si>
  <si>
    <t>P3</t>
  </si>
  <si>
    <t xml:space="preserve">  - Astral Luce Sliding Door 2R2S</t>
  </si>
  <si>
    <t xml:space="preserve">  - Clear Glass 10 mm Non STD</t>
  </si>
  <si>
    <t>Dimensi : 3800x5500--&gt;3800x500</t>
  </si>
  <si>
    <t>Note : Tinggi makksimal sliding door 5000mm</t>
  </si>
  <si>
    <t>TOTAL</t>
  </si>
  <si>
    <t>DISKON 20%</t>
  </si>
  <si>
    <t>TOTAL SETELAH DISKON</t>
  </si>
  <si>
    <t>Note</t>
  </si>
  <si>
    <t>- Harga sudah termasuk instalasi diluar pekerjaan sipil (bobok dan plester)</t>
  </si>
  <si>
    <t>- Gudang, listrik dan scafolding disediakan oleh pemberi pekerjaan</t>
  </si>
  <si>
    <t>- Garansi warna 10 tahun dan hardware 1 tahun</t>
  </si>
  <si>
    <t>- Waktu produksi pabrikasi 30 - 65 hari kerja dari ACC Shopdrawing</t>
  </si>
  <si>
    <t xml:space="preserve">- DP 50% diawal pengerjaan </t>
  </si>
  <si>
    <t>- Pembayaran 40% sebelum barang terkirim</t>
  </si>
  <si>
    <t>- Pembayaran 10% setelah pekerjaan selesai</t>
  </si>
  <si>
    <t>- Perubahan yang terjadi akibat adanya perubahan gambar detail/penyempurnaan struktur/perubahan desain dsb, akan diperhitungkan dalam surat revisi penawaran</t>
  </si>
  <si>
    <t>- Pembayaran pelunasan maksimal dilakukan 30 hari setelah serah terima dilakukan. Jika customer tidak dapat memenuhi kewajiban tsb maka aplikator berhak</t>
  </si>
  <si>
    <t xml:space="preserve"> mengambil kembali barang yang sudah terpasang</t>
  </si>
  <si>
    <t>- Batas maksimum penitipan barang di gudang 1 bulan dari timeline pekerjaan awal. Setelahnya akan dikenakan biaya sewa gudang</t>
  </si>
  <si>
    <t>- Penawaran Harga ini berlaku 14 hari, terhitung dari tanggal penawaran diajukan dan dapat berubah sewaktu-waktu tanpa pemberitahuan</t>
  </si>
  <si>
    <t>Disetujui Oleh</t>
  </si>
  <si>
    <t>Hormat Kami</t>
  </si>
  <si>
    <t>(                                  )</t>
  </si>
  <si>
    <t>Cahaya Kaca Kreatif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</si>
</sst>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_-;_-@"/>
    <numFmt numFmtId="165" formatCode="_(&quot;Rp&quot;* #,##0_);_(&quot;Rp&quot;* \(#,##0\);_(&quot;Rp&quot;* &quot;-&quot;_);_(@_)"/>
  </numFmts>
  <fonts count="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sz val="12.0"/>
      <color rgb="FF000000"/>
      <name val="Calibri"/>
    </font>
    <font/>
    <font>
      <b/>
      <sz val="12.0"/>
      <color rgb="FFFFFF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</fills>
  <borders count="1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ont="1">
      <alignment vertical="center"/>
    </xf>
    <xf borderId="1" fillId="2" fontId="1" numFmtId="0" xfId="0" applyBorder="1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top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2" fillId="2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3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4" fillId="0" fontId="1" numFmtId="165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5" fillId="0" fontId="4" numFmtId="0" xfId="0" applyBorder="1" applyFont="1"/>
    <xf borderId="5" fillId="0" fontId="1" numFmtId="165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vertical="center"/>
    </xf>
    <xf borderId="6" fillId="2" fontId="2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2" fontId="2" numFmtId="164" xfId="0" applyAlignment="1" applyBorder="1" applyFont="1" applyNumberFormat="1">
      <alignment vertical="center"/>
    </xf>
    <xf borderId="6" fillId="2" fontId="6" numFmtId="0" xfId="0" applyAlignment="1" applyBorder="1" applyFont="1">
      <alignment horizontal="center" vertical="center"/>
    </xf>
    <xf borderId="9" fillId="2" fontId="6" numFmtId="164" xfId="0" applyAlignment="1" applyBorder="1" applyFont="1" applyNumberFormat="1">
      <alignment vertical="center"/>
    </xf>
    <xf borderId="0" fillId="0" fontId="3" numFmtId="0" xfId="0" applyAlignment="1" applyFont="1">
      <alignment horizontal="center" vertical="center"/>
    </xf>
    <xf quotePrefix="1" borderId="0" fillId="0" fontId="1" numFmtId="0" xfId="0" applyAlignment="1" applyFont="1">
      <alignment horizontal="left" vertical="center"/>
    </xf>
    <xf quotePrefix="1"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123825</xdr:rowOff>
    </xdr:from>
    <xdr:ext cx="1704975" cy="723900"/>
    <xdr:pic>
      <xdr:nvPicPr>
        <xdr:cNvPr descr="Beranda - Era Maju Aluminium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47800" cy="1123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0.57"/>
    <col customWidth="1" min="3" max="3" width="49.43"/>
    <col customWidth="1" min="4" max="4" width="5.57"/>
    <col customWidth="1" min="5" max="5" width="28.14"/>
    <col customWidth="1" min="6" max="6" width="28.86"/>
    <col customWidth="1" min="7" max="26" width="8.86"/>
  </cols>
  <sheetData>
    <row r="1">
      <c r="A1" s="1"/>
      <c r="B1" s="2"/>
      <c r="C1" s="1"/>
      <c r="D1" s="1"/>
      <c r="E1" s="1" t="s">
        <v>0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2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2"/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"/>
      <c r="C5" s="1"/>
      <c r="D5" s="1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2"/>
      <c r="C6" s="1"/>
      <c r="D6" s="1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.0" customHeight="1">
      <c r="A7" s="4"/>
      <c r="B7" s="4"/>
      <c r="C7" s="4"/>
      <c r="D7" s="5"/>
      <c r="E7" s="6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7"/>
      <c r="C8" s="8"/>
      <c r="D8" s="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</v>
      </c>
      <c r="B9" s="7"/>
      <c r="C9" s="8"/>
      <c r="D9" s="1"/>
      <c r="E9" s="3"/>
      <c r="F9" s="9" t="s">
        <v>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3</v>
      </c>
      <c r="B10" s="10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4</v>
      </c>
      <c r="B11" s="11"/>
      <c r="C11" s="3"/>
      <c r="D11" s="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/>
      <c r="B12" s="11"/>
      <c r="C12" s="3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5</v>
      </c>
      <c r="B13" s="11"/>
      <c r="C13" s="3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6</v>
      </c>
      <c r="B14" s="11"/>
      <c r="C14" s="3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7</v>
      </c>
      <c r="B16" s="3"/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13"/>
      <c r="E17" s="1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 t="s">
        <v>8</v>
      </c>
      <c r="B18" s="14" t="s">
        <v>9</v>
      </c>
      <c r="C18" s="14" t="s">
        <v>10</v>
      </c>
      <c r="D18" s="14" t="s">
        <v>11</v>
      </c>
      <c r="E18" s="14" t="s">
        <v>12</v>
      </c>
      <c r="F18" s="14" t="s">
        <v>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>
        <v>1.0</v>
      </c>
      <c r="B19" s="16" t="s">
        <v>14</v>
      </c>
      <c r="C19" s="17" t="s">
        <v>15</v>
      </c>
      <c r="D19" s="15">
        <v>1.0</v>
      </c>
      <c r="E19" s="18">
        <v>5.324E7</v>
      </c>
      <c r="F19" s="18">
        <f>D19*E19</f>
        <v>53240000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20"/>
      <c r="C20" s="21" t="s">
        <v>16</v>
      </c>
      <c r="D20" s="19"/>
      <c r="E20" s="22"/>
      <c r="F20" s="2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/>
      <c r="B21" s="20"/>
      <c r="C21" s="21" t="s">
        <v>17</v>
      </c>
      <c r="D21" s="19"/>
      <c r="E21" s="22"/>
      <c r="F21" s="2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/>
      <c r="B22" s="20"/>
      <c r="C22" s="21" t="s">
        <v>18</v>
      </c>
      <c r="D22" s="19"/>
      <c r="E22" s="23"/>
      <c r="F22" s="2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/>
      <c r="B23" s="20"/>
      <c r="C23" s="21" t="s">
        <v>19</v>
      </c>
      <c r="D23" s="19"/>
      <c r="E23" s="23"/>
      <c r="F23" s="2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/>
      <c r="B24" s="20"/>
      <c r="C24" s="21" t="s">
        <v>20</v>
      </c>
      <c r="D24" s="19"/>
      <c r="E24" s="23"/>
      <c r="F24" s="2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4"/>
      <c r="B25" s="25"/>
      <c r="C25" s="26"/>
      <c r="D25" s="24"/>
      <c r="E25" s="27"/>
      <c r="F25" s="2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>
        <v>2.0</v>
      </c>
      <c r="B26" s="16" t="s">
        <v>21</v>
      </c>
      <c r="C26" s="17" t="s">
        <v>22</v>
      </c>
      <c r="D26" s="15">
        <v>1.0</v>
      </c>
      <c r="E26" s="18">
        <v>2.8138E7</v>
      </c>
      <c r="F26" s="18">
        <f>D26*E26</f>
        <v>28138000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/>
      <c r="B27" s="20"/>
      <c r="C27" s="21" t="s">
        <v>16</v>
      </c>
      <c r="D27" s="19"/>
      <c r="E27" s="22"/>
      <c r="F27" s="2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/>
      <c r="B28" s="20"/>
      <c r="C28" s="21" t="s">
        <v>17</v>
      </c>
      <c r="D28" s="19"/>
      <c r="E28" s="22"/>
      <c r="F28" s="2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/>
      <c r="B29" s="20"/>
      <c r="C29" s="21" t="s">
        <v>18</v>
      </c>
      <c r="D29" s="19"/>
      <c r="E29" s="23"/>
      <c r="F29" s="2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/>
      <c r="B30" s="20"/>
      <c r="C30" s="21" t="s">
        <v>19</v>
      </c>
      <c r="D30" s="19"/>
      <c r="E30" s="23"/>
      <c r="F30" s="2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/>
      <c r="B31" s="20"/>
      <c r="C31" s="21" t="s">
        <v>23</v>
      </c>
      <c r="D31" s="19"/>
      <c r="E31" s="23"/>
      <c r="F31" s="2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4"/>
      <c r="B32" s="25"/>
      <c r="C32" s="26"/>
      <c r="D32" s="24"/>
      <c r="E32" s="27"/>
      <c r="F32" s="2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>
        <v>3.0</v>
      </c>
      <c r="B33" s="16" t="s">
        <v>24</v>
      </c>
      <c r="C33" s="17" t="s">
        <v>25</v>
      </c>
      <c r="D33" s="15">
        <v>1.0</v>
      </c>
      <c r="E33" s="18">
        <v>1.55847E8</v>
      </c>
      <c r="F33" s="18">
        <f>D33*E33</f>
        <v>155847000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/>
      <c r="B34" s="20"/>
      <c r="C34" s="21" t="s">
        <v>16</v>
      </c>
      <c r="D34" s="19"/>
      <c r="E34" s="22"/>
      <c r="F34" s="2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/>
      <c r="B35" s="20"/>
      <c r="C35" s="21" t="s">
        <v>26</v>
      </c>
      <c r="D35" s="19"/>
      <c r="E35" s="22"/>
      <c r="F35" s="2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/>
      <c r="B36" s="20"/>
      <c r="C36" s="21" t="s">
        <v>18</v>
      </c>
      <c r="D36" s="19"/>
      <c r="E36" s="23"/>
      <c r="F36" s="2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/>
      <c r="B37" s="20"/>
      <c r="C37" s="21" t="s">
        <v>19</v>
      </c>
      <c r="D37" s="19"/>
      <c r="E37" s="23"/>
      <c r="F37" s="2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/>
      <c r="B38" s="20"/>
      <c r="C38" s="21" t="s">
        <v>27</v>
      </c>
      <c r="D38" s="19"/>
      <c r="E38" s="23"/>
      <c r="F38" s="2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/>
      <c r="B39" s="20"/>
      <c r="C39" s="28" t="s">
        <v>28</v>
      </c>
      <c r="D39" s="19"/>
      <c r="E39" s="23"/>
      <c r="F39" s="2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4"/>
      <c r="B40" s="25"/>
      <c r="C40" s="26"/>
      <c r="D40" s="24"/>
      <c r="E40" s="27"/>
      <c r="F40" s="2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10"/>
      <c r="C41" s="29" t="s">
        <v>29</v>
      </c>
      <c r="D41" s="30"/>
      <c r="E41" s="31"/>
      <c r="F41" s="32">
        <f>SUM(F19:F40)</f>
        <v>237225000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10"/>
      <c r="C42" s="29" t="s">
        <v>30</v>
      </c>
      <c r="D42" s="30"/>
      <c r="E42" s="31"/>
      <c r="F42" s="32">
        <f>SUM(F41*20%)</f>
        <v>47445000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1"/>
      <c r="C43" s="33" t="s">
        <v>31</v>
      </c>
      <c r="D43" s="30"/>
      <c r="E43" s="31"/>
      <c r="F43" s="34">
        <f>SUM(F41-F42)</f>
        <v>189780000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7"/>
      <c r="C44" s="10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5" t="s">
        <v>32</v>
      </c>
      <c r="B45" s="36" t="s">
        <v>33</v>
      </c>
      <c r="C45" s="1"/>
      <c r="D45" s="1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5"/>
      <c r="B46" s="36" t="s">
        <v>34</v>
      </c>
      <c r="C46" s="2"/>
      <c r="D46" s="2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36" t="s">
        <v>35</v>
      </c>
      <c r="C47" s="1"/>
      <c r="D47" s="1"/>
      <c r="E47" s="2"/>
      <c r="F47" s="2"/>
      <c r="G47" s="2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36" t="s">
        <v>36</v>
      </c>
      <c r="C48" s="2"/>
      <c r="D48" s="2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36" t="s">
        <v>37</v>
      </c>
      <c r="C49" s="1"/>
      <c r="D49" s="1"/>
      <c r="E49" s="1"/>
      <c r="F49" s="1"/>
      <c r="G49" s="2"/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36" t="s">
        <v>38</v>
      </c>
      <c r="C50" s="1"/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36" t="s">
        <v>39</v>
      </c>
      <c r="C51" s="2"/>
      <c r="D51" s="2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36" t="s">
        <v>40</v>
      </c>
      <c r="C52" s="10"/>
      <c r="D52" s="10"/>
      <c r="E52" s="2"/>
      <c r="F52" s="2"/>
      <c r="G52" s="1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36" t="s">
        <v>41</v>
      </c>
      <c r="C53" s="10"/>
      <c r="D53" s="10"/>
      <c r="E53" s="2"/>
      <c r="F53" s="2"/>
      <c r="G53" s="1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36" t="s">
        <v>42</v>
      </c>
      <c r="C54" s="10"/>
      <c r="D54" s="10"/>
      <c r="E54" s="2"/>
      <c r="F54" s="2"/>
      <c r="G54" s="2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36" t="s">
        <v>43</v>
      </c>
      <c r="C55" s="10"/>
      <c r="D55" s="10"/>
      <c r="E55" s="2"/>
      <c r="F55" s="2"/>
      <c r="G55" s="2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37" t="s">
        <v>44</v>
      </c>
      <c r="C56" s="2"/>
      <c r="D56" s="2"/>
      <c r="E56" s="1"/>
      <c r="F56" s="1"/>
      <c r="G56" s="2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2"/>
      <c r="C57" s="2"/>
      <c r="D57" s="2"/>
      <c r="E57" s="1"/>
      <c r="F57" s="1"/>
      <c r="G57" s="2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2"/>
      <c r="C58" s="2"/>
      <c r="D58" s="2"/>
      <c r="E58" s="1"/>
      <c r="F58" s="1"/>
      <c r="G58" s="1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2" t="s">
        <v>45</v>
      </c>
      <c r="C59" s="2"/>
      <c r="D59" s="2"/>
      <c r="E59" s="2"/>
      <c r="F59" s="2" t="s">
        <v>46</v>
      </c>
      <c r="G59" s="1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2"/>
      <c r="C60" s="2"/>
      <c r="D60" s="2"/>
      <c r="E60" s="2"/>
      <c r="F60" s="2"/>
      <c r="G60" s="1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2"/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2"/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 t="s">
        <v>47</v>
      </c>
      <c r="C64" s="2"/>
      <c r="D64" s="2"/>
      <c r="E64" s="2"/>
      <c r="F64" s="2" t="s">
        <v>48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17:D17"/>
    <mergeCell ref="C41:E41"/>
    <mergeCell ref="C42:E42"/>
    <mergeCell ref="C43:E43"/>
  </mergeCells>
  <printOptions/>
  <pageMargins bottom="0.75" footer="0.0" header="0.0" left="0.7" right="0.7" top="0.75"/>
  <pageSetup fitToHeight="0" orientation="portrait"/>
  <headerFooter>
    <oddHeader>&amp;C </oddHeader>
    <oddFooter>&amp;L&amp;P&amp;CPT. Cahaya Kaca Kreatif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2023-12-27T04:37:55Z</dcterms:created>
  <dc:creator>Lenovo</dc:creator>
</cp:coreProperties>
</file>